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houeiri\Desktop\codes\DPDK-ICS-RF\results\attack\"/>
    </mc:Choice>
  </mc:AlternateContent>
  <xr:revisionPtr revIDLastSave="0" documentId="13_ncr:1_{D6E071BD-D4FE-4484-8938-084F265A6D72}" xr6:coauthVersionLast="47" xr6:coauthVersionMax="47" xr10:uidLastSave="{00000000-0000-0000-0000-000000000000}"/>
  <bookViews>
    <workbookView xWindow="28680" yWindow="-120" windowWidth="29040" windowHeight="15720" tabRatio="727" xr2:uid="{00000000-000D-0000-FFFF-FFFF00000000}"/>
  </bookViews>
  <sheets>
    <sheet name="onlin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5" l="1"/>
  <c r="U6" i="5"/>
  <c r="U5" i="5"/>
  <c r="U4" i="5"/>
  <c r="U3" i="5"/>
</calcChain>
</file>

<file path=xl/sharedStrings.xml><?xml version="1.0" encoding="utf-8"?>
<sst xmlns="http://schemas.openxmlformats.org/spreadsheetml/2006/main" count="24" uniqueCount="20">
  <si>
    <t>accuracy</t>
  </si>
  <si>
    <t>max_depth</t>
  </si>
  <si>
    <t>n_estimators</t>
  </si>
  <si>
    <t>roc_auc</t>
  </si>
  <si>
    <t>avg_nodes_per_tree</t>
  </si>
  <si>
    <t>total_nodes</t>
  </si>
  <si>
    <t>tn</t>
  </si>
  <si>
    <t>fp</t>
  </si>
  <si>
    <t>fn</t>
  </si>
  <si>
    <t>tp</t>
  </si>
  <si>
    <t>mean</t>
  </si>
  <si>
    <t>dataset</t>
  </si>
  <si>
    <t>ws8</t>
  </si>
  <si>
    <t>number of trees</t>
  </si>
  <si>
    <t>Inference time (us)</t>
  </si>
  <si>
    <t>Accuracy (%)</t>
  </si>
  <si>
    <t>standard dev</t>
  </si>
  <si>
    <t>offline</t>
  </si>
  <si>
    <t>online</t>
  </si>
  <si>
    <t>Memory footprint (MiB)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</si>
</sst>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F55A-2199-4B9D-A95D-4DC7F3979266}">
  <dimension ref="A1:V7"/>
  <sheetViews>
    <sheetView tabSelected="1" workbookViewId="0">
      <selection activeCell="H14" sqref="H14"/>
    </sheetView>
  </sheetViews>
  <sheetFormatPr defaultRowHeight="15" x14ac:dyDescent="0.25"/>
  <cols>
    <col min="17" max="17" width="15.42578125" bestFit="1" customWidth="1"/>
    <col min="18" max="18" width="6" bestFit="1" customWidth="1"/>
    <col min="19" max="19" width="12.42578125" bestFit="1" customWidth="1"/>
    <col min="20" max="21" width="12" bestFit="1" customWidth="1"/>
    <col min="22" max="22" width="22" bestFit="1" customWidth="1"/>
  </cols>
  <sheetData>
    <row r="1" spans="1:22" x14ac:dyDescent="0.25">
      <c r="A1" t="s">
        <v>11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Q1" s="1" t="s">
        <v>13</v>
      </c>
      <c r="R1" s="1" t="s">
        <v>14</v>
      </c>
      <c r="S1" s="1"/>
      <c r="T1" s="1" t="s">
        <v>15</v>
      </c>
      <c r="U1" s="1"/>
      <c r="V1" s="1" t="s">
        <v>19</v>
      </c>
    </row>
    <row r="2" spans="1:22" x14ac:dyDescent="0.25">
      <c r="A2" t="s">
        <v>12</v>
      </c>
      <c r="B2">
        <v>8</v>
      </c>
      <c r="C2">
        <v>50</v>
      </c>
      <c r="D2">
        <v>0.98973104494793496</v>
      </c>
      <c r="E2">
        <v>0.99527193032844796</v>
      </c>
      <c r="F2">
        <v>193.56</v>
      </c>
      <c r="G2">
        <v>9678</v>
      </c>
      <c r="H2">
        <v>107334</v>
      </c>
      <c r="I2">
        <v>36</v>
      </c>
      <c r="J2">
        <v>1534</v>
      </c>
      <c r="K2">
        <v>43984</v>
      </c>
      <c r="Q2" s="1"/>
      <c r="R2" t="s">
        <v>10</v>
      </c>
      <c r="S2" t="s">
        <v>16</v>
      </c>
      <c r="T2" t="s">
        <v>17</v>
      </c>
      <c r="U2" t="s">
        <v>18</v>
      </c>
      <c r="V2" s="1"/>
    </row>
    <row r="3" spans="1:22" x14ac:dyDescent="0.25">
      <c r="A3" t="s">
        <v>12</v>
      </c>
      <c r="B3">
        <v>8</v>
      </c>
      <c r="C3">
        <v>25</v>
      </c>
      <c r="D3">
        <v>0.98951520066977094</v>
      </c>
      <c r="E3">
        <v>0.99511967961255399</v>
      </c>
      <c r="F3">
        <v>197</v>
      </c>
      <c r="G3">
        <v>4925</v>
      </c>
      <c r="H3">
        <v>107335</v>
      </c>
      <c r="I3">
        <v>35</v>
      </c>
      <c r="J3">
        <v>1568</v>
      </c>
      <c r="K3">
        <v>43950</v>
      </c>
      <c r="Q3">
        <v>1</v>
      </c>
      <c r="R3">
        <v>0.11</v>
      </c>
      <c r="S3">
        <v>2.34</v>
      </c>
      <c r="T3">
        <v>0.98710166919575104</v>
      </c>
      <c r="U3">
        <f>T3*0.995319</f>
        <v>0.98248104628224564</v>
      </c>
      <c r="V3">
        <v>4.3E-3</v>
      </c>
    </row>
    <row r="4" spans="1:22" x14ac:dyDescent="0.25">
      <c r="A4" t="s">
        <v>12</v>
      </c>
      <c r="B4">
        <v>8</v>
      </c>
      <c r="C4">
        <v>10</v>
      </c>
      <c r="D4">
        <v>0.989253571241693</v>
      </c>
      <c r="E4">
        <v>0.99481599479247595</v>
      </c>
      <c r="F4">
        <v>170.2</v>
      </c>
      <c r="G4">
        <v>1702</v>
      </c>
      <c r="H4">
        <v>107334</v>
      </c>
      <c r="I4">
        <v>36</v>
      </c>
      <c r="J4">
        <v>1607</v>
      </c>
      <c r="K4">
        <v>43911</v>
      </c>
      <c r="Q4">
        <v>5</v>
      </c>
      <c r="R4">
        <v>0.2</v>
      </c>
      <c r="S4">
        <v>2.2599999999999998</v>
      </c>
      <c r="T4">
        <v>0.98854717178588203</v>
      </c>
      <c r="U4">
        <f>T4*0.996</f>
        <v>0.98459298309873855</v>
      </c>
      <c r="V4">
        <v>2.2599999999999999E-2</v>
      </c>
    </row>
    <row r="5" spans="1:22" x14ac:dyDescent="0.25">
      <c r="A5" t="s">
        <v>12</v>
      </c>
      <c r="B5">
        <v>8</v>
      </c>
      <c r="C5">
        <v>5</v>
      </c>
      <c r="D5">
        <v>0.98854717178588203</v>
      </c>
      <c r="E5">
        <v>0.99374997204470605</v>
      </c>
      <c r="F5">
        <v>148.19999999999999</v>
      </c>
      <c r="G5">
        <v>741</v>
      </c>
      <c r="H5">
        <v>107325</v>
      </c>
      <c r="I5">
        <v>45</v>
      </c>
      <c r="J5">
        <v>1706</v>
      </c>
      <c r="K5">
        <v>43812</v>
      </c>
      <c r="Q5">
        <v>10</v>
      </c>
      <c r="R5">
        <v>0.33</v>
      </c>
      <c r="S5">
        <v>2.54</v>
      </c>
      <c r="T5">
        <v>0.989253571241693</v>
      </c>
      <c r="U5">
        <f>T5*0.996171</f>
        <v>0.98546571931740856</v>
      </c>
      <c r="V5">
        <v>5.1900000000000002E-2</v>
      </c>
    </row>
    <row r="6" spans="1:22" x14ac:dyDescent="0.25">
      <c r="A6" t="s">
        <v>12</v>
      </c>
      <c r="B6">
        <v>8</v>
      </c>
      <c r="C6">
        <v>1</v>
      </c>
      <c r="D6">
        <v>0.98710166919575104</v>
      </c>
      <c r="E6">
        <v>0.98420935676766197</v>
      </c>
      <c r="F6">
        <v>141</v>
      </c>
      <c r="G6">
        <v>141</v>
      </c>
      <c r="H6">
        <v>107298</v>
      </c>
      <c r="I6">
        <v>72</v>
      </c>
      <c r="J6">
        <v>1900</v>
      </c>
      <c r="K6">
        <v>43618</v>
      </c>
      <c r="Q6">
        <v>25</v>
      </c>
      <c r="R6">
        <v>0.79</v>
      </c>
      <c r="S6">
        <v>2.83</v>
      </c>
      <c r="T6">
        <v>0.98951520066977094</v>
      </c>
      <c r="U6">
        <f>T6*0.989245</f>
        <v>0.97887296468656759</v>
      </c>
      <c r="V6">
        <v>0.15060000000000001</v>
      </c>
    </row>
    <row r="7" spans="1:22" x14ac:dyDescent="0.25">
      <c r="Q7">
        <v>50</v>
      </c>
      <c r="R7">
        <v>1.61</v>
      </c>
      <c r="S7">
        <v>3.37</v>
      </c>
      <c r="T7">
        <v>0.98973104494793496</v>
      </c>
      <c r="U7">
        <f>T7*0.989228</f>
        <v>0.97906966213175584</v>
      </c>
      <c r="V7">
        <v>0.29530000000000001</v>
      </c>
    </row>
  </sheetData>
  <mergeCells count="4">
    <mergeCell ref="Q1:Q2"/>
    <mergeCell ref="R1:S1"/>
    <mergeCell ref="T1:U1"/>
    <mergeCell ref="V1:V2"/>
  </mergeCells>
  <conditionalFormatting sqref="D2:D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Choueiri, Samia</dc:creator>
  <cp:lastModifiedBy>Choueiri, Samia</cp:lastModifiedBy>
  <dcterms:created xsi:type="dcterms:W3CDTF">2015-06-05T18:17:20Z</dcterms:created>
  <dcterms:modified xsi:type="dcterms:W3CDTF">2026-04-08T04:50:53Z</dcterms:modified>
</cp:coreProperties>
</file>